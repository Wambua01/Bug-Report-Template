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 Report Log" sheetId="1" state="visible" r:id="rId3"/>
  </sheets>
  <definedNames>
    <definedName function="false" hidden="true" localSheetId="0" name="_xlnm._FilterDatabase" vbProcedure="false">'Bug Report Log'!$A$9:$L$17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<sst xmlns="http://schemas.openxmlformats.org/spreadsheetml/2006/main" count="137" uniqueCount="98">
  <si>
    <t xml:space="preserve">BANGBET KENYA — BUG REPORT LOG</t>
  </si>
  <si>
    <t xml:space="preserve">Mobile QA — Android &amp; iOS App Testing</t>
  </si>
  <si>
    <t xml:space="preserve">Project:</t>
  </si>
  <si>
    <t xml:space="preserve">BangBet Kenya App</t>
  </si>
  <si>
    <t xml:space="preserve">Date Started:</t>
  </si>
  <si>
    <t xml:space="preserve">Platform:</t>
  </si>
  <si>
    <t xml:space="preserve">Android / iOS</t>
  </si>
  <si>
    <t xml:space="preserve">Date Closed:</t>
  </si>
  <si>
    <t xml:space="preserve">Tester Name:</t>
  </si>
  <si>
    <t xml:space="preserve">Anthony Wambua</t>
  </si>
  <si>
    <t xml:space="preserve">Environment:</t>
  </si>
  <si>
    <t xml:space="preserve">Staging / Production</t>
  </si>
  <si>
    <t xml:space="preserve">Test Cycle:</t>
  </si>
  <si>
    <t xml:space="preserve">e.g. v3.2.1 Pre-Release</t>
  </si>
  <si>
    <t xml:space="preserve">Build Version:</t>
  </si>
  <si>
    <t xml:space="preserve">Bug ID</t>
  </si>
  <si>
    <t xml:space="preserve">Date Reported</t>
  </si>
  <si>
    <t xml:space="preserve">Reported By</t>
  </si>
  <si>
    <t xml:space="preserve">Module / Feature</t>
  </si>
  <si>
    <t xml:space="preserve">Bug Title</t>
  </si>
  <si>
    <t xml:space="preserve">Steps to Reproduce</t>
  </si>
  <si>
    <t xml:space="preserve">Expected Result</t>
  </si>
  <si>
    <t xml:space="preserve">Actual Result</t>
  </si>
  <si>
    <t xml:space="preserve">Severity</t>
  </si>
  <si>
    <t xml:space="preserve">Priority</t>
  </si>
  <si>
    <t xml:space="preserve">Status</t>
  </si>
  <si>
    <t xml:space="preserve">Dev Notes / Fix</t>
  </si>
  <si>
    <t xml:space="preserve">BG-001</t>
  </si>
  <si>
    <t xml:space="preserve">28/05/2026</t>
  </si>
  <si>
    <t xml:space="preserve">Login</t>
  </si>
  <si>
    <t xml:space="preserve">App crashes on login with incorrect password (3rd attempt)</t>
  </si>
  <si>
    <t xml:space="preserve">1. Open app
2. Enter wrong password
3. Repeat 3 times</t>
  </si>
  <si>
    <t xml:space="preserve">Error message shown: 'Incorrect password. Try again.'</t>
  </si>
  <si>
    <t xml:space="preserve">App crashes and closes completely on 3rd failed attempt</t>
  </si>
  <si>
    <t xml:space="preserve">Critical</t>
  </si>
  <si>
    <t xml:space="preserve">P1</t>
  </si>
  <si>
    <t xml:space="preserve">Open</t>
  </si>
  <si>
    <t xml:space="preserve">BG-002</t>
  </si>
  <si>
    <t xml:space="preserve">Deposit / M-Pesa</t>
  </si>
  <si>
    <t xml:space="preserve">M-Pesa STK push not triggered on deposit screen</t>
  </si>
  <si>
    <t xml:space="preserve">1. Log in
2. Go to Deposit
3. Enter amount
4. Select M-Pesa
5. Tap Confirm</t>
  </si>
  <si>
    <t xml:space="preserve">M-Pesa STK push prompt appears on user's phone within 10 seconds</t>
  </si>
  <si>
    <t xml:space="preserve">No STK push received; deposit screen shows 'Processing' indefinitely</t>
  </si>
  <si>
    <t xml:space="preserve">BG-003</t>
  </si>
  <si>
    <t xml:space="preserve">Sports Betting</t>
  </si>
  <si>
    <t xml:space="preserve">Odds not updating in real-time on live match screen</t>
  </si>
  <si>
    <t xml:space="preserve">1. Open a live football match
2. Observe odds for 2+ minutes</t>
  </si>
  <si>
    <t xml:space="preserve">Odds should refresh every 10–15 seconds automatically</t>
  </si>
  <si>
    <t xml:space="preserve">Odds remain static; require manual page refresh to update</t>
  </si>
  <si>
    <t xml:space="preserve">High</t>
  </si>
  <si>
    <t xml:space="preserve">P2</t>
  </si>
  <si>
    <t xml:space="preserve">In Progress</t>
  </si>
  <si>
    <t xml:space="preserve">Dev investigating WebSocket connection</t>
  </si>
  <si>
    <t xml:space="preserve">BG-004</t>
  </si>
  <si>
    <t xml:space="preserve">Bet Slip</t>
  </si>
  <si>
    <t xml:space="preserve">Bet slip total miscalculates when more than 3 selections added</t>
  </si>
  <si>
    <t xml:space="preserve">1. Add 3 bets to slip
2. Add a 4th bet
3. Check total stake</t>
  </si>
  <si>
    <t xml:space="preserve">Total stake = sum of all individual bet amounts</t>
  </si>
  <si>
    <t xml:space="preserve">Total stake shows incorrect value (appears to drop one selection)</t>
  </si>
  <si>
    <t xml:space="preserve">BG-005</t>
  </si>
  <si>
    <t xml:space="preserve">Casino / Crash Game</t>
  </si>
  <si>
    <t xml:space="preserve">Crash game multiplier freezes at 1.00x on iOS 17.4</t>
  </si>
  <si>
    <t xml:space="preserve">1. Open Crash game
2. Place bet
3. Observe multiplier on iPhone (iOS 17.4)</t>
  </si>
  <si>
    <t xml:space="preserve">Multiplier should animate upward from 1.00x until crash event</t>
  </si>
  <si>
    <t xml:space="preserve">Multiplier stays at 1.00x; game appears to start but does not animate</t>
  </si>
  <si>
    <t xml:space="preserve">Only reproduced on iOS 17.4; iOS 16 unaffected</t>
  </si>
  <si>
    <t xml:space="preserve">BG-006</t>
  </si>
  <si>
    <t xml:space="preserve">Withdrawal</t>
  </si>
  <si>
    <t xml:space="preserve">Withdrawal history tab shows blank screen on first load</t>
  </si>
  <si>
    <t xml:space="preserve">1. Log in
2. Go to Account &gt; Withdrawal History</t>
  </si>
  <si>
    <t xml:space="preserve">List of past withdrawals displayed</t>
  </si>
  <si>
    <t xml:space="preserve">Blank white screen shown; refreshing manually loads data correctly</t>
  </si>
  <si>
    <t xml:space="preserve">Medium</t>
  </si>
  <si>
    <t xml:space="preserve">P3</t>
  </si>
  <si>
    <t xml:space="preserve">Resolved</t>
  </si>
  <si>
    <t xml:space="preserve">Fixed in build 3.2.2 — lazy load issue</t>
  </si>
  <si>
    <t xml:space="preserve">BG-007</t>
  </si>
  <si>
    <t xml:space="preserve">Notifications</t>
  </si>
  <si>
    <t xml:space="preserve">Push notifications for won bets not delivered on Android 14</t>
  </si>
  <si>
    <t xml:space="preserve">1. Place a bet
2. Win the bet
3. Check notification tray (Android 14)</t>
  </si>
  <si>
    <t xml:space="preserve">Push notification: 'Congratulations! Your bet on [match] has won.'</t>
  </si>
  <si>
    <t xml:space="preserve">No push notification received; win only visible inside the app</t>
  </si>
  <si>
    <t xml:space="preserve">BG-008</t>
  </si>
  <si>
    <t xml:space="preserve">UI / Layout</t>
  </si>
  <si>
    <t xml:space="preserve">Bottom navigation bar overlaps content on small screen devices</t>
  </si>
  <si>
    <t xml:space="preserve">1. Open app on a 5-inch screen device
2. Navigate to any main section</t>
  </si>
  <si>
    <t xml:space="preserve">All content fully visible above the navigation bar</t>
  </si>
  <si>
    <t xml:space="preserve">Bottom ~40px of content hidden behind navigation bar</t>
  </si>
  <si>
    <t xml:space="preserve">Low</t>
  </si>
  <si>
    <t xml:space="preserve">P4</t>
  </si>
  <si>
    <t xml:space="preserve">Affects devices with screen height &lt; 640dp</t>
  </si>
  <si>
    <t xml:space="preserve">BUG SUMMARY</t>
  </si>
  <si>
    <t xml:space="preserve">SEVERITY LEGEND</t>
  </si>
  <si>
    <t xml:space="preserve">Total Bugs</t>
  </si>
  <si>
    <t xml:space="preserve">App crash, data loss, payment failure — blocks release</t>
  </si>
  <si>
    <t xml:space="preserve">Major feature broken — workaround possible</t>
  </si>
  <si>
    <t xml:space="preserve">Feature partially broken — does not block release</t>
  </si>
  <si>
    <t xml:space="preserve">Minor UI/UX issue — cosmetic or edge case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</si>
</sst>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E26B0A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b val="true"/>
      <sz val="10"/>
      <color rgb="FF375623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BF3FB"/>
      </patternFill>
    </fill>
    <fill>
      <patternFill patternType="solid">
        <fgColor rgb="FFEBF3FB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D6E4F0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26B0A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2F2F2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26B0A"/>
      <rgbColor rgb="FF666699"/>
      <rgbColor rgb="FF969696"/>
      <rgbColor rgb="FF003366"/>
      <rgbColor rgb="FF339966"/>
      <rgbColor rgb="FF003300"/>
      <rgbColor rgb="FF375623"/>
      <rgbColor rgb="FF993300"/>
      <rgbColor rgb="FF993366"/>
      <rgbColor rgb="FF1F4E7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L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8" min="7" style="0" width="30"/>
    <col collapsed="false" customWidth="true" hidden="false" outlineLevel="0" max="10" min="9" style="0" width="12"/>
    <col collapsed="false" customWidth="true" hidden="false" outlineLevel="0" max="11" min="11" style="0" width="14"/>
    <col collapsed="false" customWidth="true" hidden="false" outlineLevel="0" max="12" min="12" style="0" width="3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/>
    <row r="4" customFormat="false" ht="23.85" hidden="false" customHeight="false" outlineLevel="0" collapsed="false">
      <c r="A4" s="3" t="s">
        <v>2</v>
      </c>
      <c r="B4" s="4" t="s">
        <v>3</v>
      </c>
      <c r="D4" s="3" t="s">
        <v>4</v>
      </c>
      <c r="E4" s="4"/>
    </row>
    <row r="5" customFormat="false" ht="15" hidden="false" customHeight="false" outlineLevel="0" collapsed="false">
      <c r="A5" s="3" t="s">
        <v>5</v>
      </c>
      <c r="B5" s="4" t="s">
        <v>6</v>
      </c>
      <c r="D5" s="3" t="s">
        <v>7</v>
      </c>
      <c r="E5" s="4"/>
    </row>
    <row r="6" customFormat="false" ht="23.85" hidden="false" customHeight="false" outlineLevel="0" collapsed="false">
      <c r="A6" s="3" t="s">
        <v>8</v>
      </c>
      <c r="B6" s="4" t="s">
        <v>9</v>
      </c>
      <c r="D6" s="3" t="s">
        <v>10</v>
      </c>
      <c r="E6" s="4" t="s">
        <v>11</v>
      </c>
    </row>
    <row r="7" customFormat="false" ht="23.85" hidden="false" customHeight="false" outlineLevel="0" collapsed="false">
      <c r="A7" s="3" t="s">
        <v>12</v>
      </c>
      <c r="B7" s="4" t="s">
        <v>13</v>
      </c>
      <c r="D7" s="3" t="s">
        <v>14</v>
      </c>
      <c r="E7" s="4"/>
    </row>
    <row r="8" customFormat="false" ht="9.75" hidden="false" customHeight="true" outlineLevel="0" collapsed="false"/>
    <row r="9" customFormat="false" ht="27.75" hidden="false" customHeight="true" outlineLevel="0" collapsed="false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24</v>
      </c>
      <c r="K9" s="5" t="s">
        <v>25</v>
      </c>
      <c r="L9" s="5" t="s">
        <v>26</v>
      </c>
    </row>
    <row r="10" customFormat="false" ht="48" hidden="false" customHeight="true" outlineLevel="0" collapsed="false">
      <c r="A10" s="6" t="s">
        <v>27</v>
      </c>
      <c r="B10" s="6" t="s">
        <v>28</v>
      </c>
      <c r="C10" s="6" t="s">
        <v>9</v>
      </c>
      <c r="D10" s="6" t="s">
        <v>29</v>
      </c>
      <c r="E10" s="6" t="s">
        <v>30</v>
      </c>
      <c r="F10" s="6" t="s">
        <v>31</v>
      </c>
      <c r="G10" s="6" t="s">
        <v>32</v>
      </c>
      <c r="H10" s="6" t="s">
        <v>33</v>
      </c>
      <c r="I10" s="7" t="s">
        <v>34</v>
      </c>
      <c r="J10" s="6" t="s">
        <v>35</v>
      </c>
      <c r="K10" s="8" t="s">
        <v>36</v>
      </c>
      <c r="L10" s="6"/>
    </row>
    <row r="11" customFormat="false" ht="48" hidden="false" customHeight="true" outlineLevel="0" collapsed="false">
      <c r="A11" s="9" t="s">
        <v>37</v>
      </c>
      <c r="B11" s="9" t="s">
        <v>28</v>
      </c>
      <c r="C11" s="9" t="s">
        <v>9</v>
      </c>
      <c r="D11" s="9" t="s">
        <v>38</v>
      </c>
      <c r="E11" s="9" t="s">
        <v>39</v>
      </c>
      <c r="F11" s="9" t="s">
        <v>40</v>
      </c>
      <c r="G11" s="9" t="s">
        <v>41</v>
      </c>
      <c r="H11" s="9" t="s">
        <v>42</v>
      </c>
      <c r="I11" s="10" t="s">
        <v>34</v>
      </c>
      <c r="J11" s="9" t="s">
        <v>35</v>
      </c>
      <c r="K11" s="8" t="s">
        <v>36</v>
      </c>
      <c r="L11" s="9"/>
    </row>
    <row r="12" customFormat="false" ht="48" hidden="false" customHeight="true" outlineLevel="0" collapsed="false">
      <c r="A12" s="6" t="s">
        <v>43</v>
      </c>
      <c r="B12" s="6" t="s">
        <v>28</v>
      </c>
      <c r="C12" s="6" t="s">
        <v>9</v>
      </c>
      <c r="D12" s="6" t="s">
        <v>44</v>
      </c>
      <c r="E12" s="6" t="s">
        <v>45</v>
      </c>
      <c r="F12" s="6" t="s">
        <v>46</v>
      </c>
      <c r="G12" s="6" t="s">
        <v>47</v>
      </c>
      <c r="H12" s="6" t="s">
        <v>48</v>
      </c>
      <c r="I12" s="11" t="s">
        <v>49</v>
      </c>
      <c r="J12" s="6" t="s">
        <v>50</v>
      </c>
      <c r="K12" s="12" t="s">
        <v>51</v>
      </c>
      <c r="L12" s="6" t="s">
        <v>52</v>
      </c>
    </row>
    <row r="13" customFormat="false" ht="48" hidden="false" customHeight="true" outlineLevel="0" collapsed="false">
      <c r="A13" s="9" t="s">
        <v>53</v>
      </c>
      <c r="B13" s="9" t="s">
        <v>28</v>
      </c>
      <c r="C13" s="9" t="s">
        <v>9</v>
      </c>
      <c r="D13" s="9" t="s">
        <v>54</v>
      </c>
      <c r="E13" s="9" t="s">
        <v>55</v>
      </c>
      <c r="F13" s="9" t="s">
        <v>56</v>
      </c>
      <c r="G13" s="9" t="s">
        <v>57</v>
      </c>
      <c r="H13" s="9" t="s">
        <v>58</v>
      </c>
      <c r="I13" s="13" t="s">
        <v>49</v>
      </c>
      <c r="J13" s="9" t="s">
        <v>50</v>
      </c>
      <c r="K13" s="8" t="s">
        <v>36</v>
      </c>
      <c r="L13" s="9"/>
    </row>
    <row r="14" customFormat="false" ht="48" hidden="false" customHeight="true" outlineLevel="0" collapsed="false">
      <c r="A14" s="6" t="s">
        <v>59</v>
      </c>
      <c r="B14" s="6" t="s">
        <v>28</v>
      </c>
      <c r="C14" s="6" t="s">
        <v>9</v>
      </c>
      <c r="D14" s="6" t="s">
        <v>60</v>
      </c>
      <c r="E14" s="6" t="s">
        <v>61</v>
      </c>
      <c r="F14" s="6" t="s">
        <v>62</v>
      </c>
      <c r="G14" s="6" t="s">
        <v>63</v>
      </c>
      <c r="H14" s="6" t="s">
        <v>64</v>
      </c>
      <c r="I14" s="11" t="s">
        <v>49</v>
      </c>
      <c r="J14" s="6" t="s">
        <v>50</v>
      </c>
      <c r="K14" s="8" t="s">
        <v>36</v>
      </c>
      <c r="L14" s="6" t="s">
        <v>65</v>
      </c>
    </row>
    <row r="15" customFormat="false" ht="48" hidden="false" customHeight="true" outlineLevel="0" collapsed="false">
      <c r="A15" s="9" t="s">
        <v>66</v>
      </c>
      <c r="B15" s="9" t="s">
        <v>28</v>
      </c>
      <c r="C15" s="9" t="s">
        <v>9</v>
      </c>
      <c r="D15" s="9" t="s">
        <v>67</v>
      </c>
      <c r="E15" s="9" t="s">
        <v>68</v>
      </c>
      <c r="F15" s="9" t="s">
        <v>69</v>
      </c>
      <c r="G15" s="9" t="s">
        <v>70</v>
      </c>
      <c r="H15" s="9" t="s">
        <v>71</v>
      </c>
      <c r="I15" s="14" t="s">
        <v>72</v>
      </c>
      <c r="J15" s="9" t="s">
        <v>73</v>
      </c>
      <c r="K15" s="15" t="s">
        <v>74</v>
      </c>
      <c r="L15" s="9" t="s">
        <v>75</v>
      </c>
    </row>
    <row r="16" customFormat="false" ht="48" hidden="false" customHeight="true" outlineLevel="0" collapsed="false">
      <c r="A16" s="6" t="s">
        <v>76</v>
      </c>
      <c r="B16" s="6" t="s">
        <v>28</v>
      </c>
      <c r="C16" s="6" t="s">
        <v>9</v>
      </c>
      <c r="D16" s="6" t="s">
        <v>77</v>
      </c>
      <c r="E16" s="6" t="s">
        <v>78</v>
      </c>
      <c r="F16" s="6" t="s">
        <v>79</v>
      </c>
      <c r="G16" s="6" t="s">
        <v>80</v>
      </c>
      <c r="H16" s="6" t="s">
        <v>81</v>
      </c>
      <c r="I16" s="16" t="s">
        <v>72</v>
      </c>
      <c r="J16" s="6" t="s">
        <v>73</v>
      </c>
      <c r="K16" s="8" t="s">
        <v>36</v>
      </c>
      <c r="L16" s="6"/>
    </row>
    <row r="17" customFormat="false" ht="48" hidden="false" customHeight="true" outlineLevel="0" collapsed="false">
      <c r="A17" s="9" t="s">
        <v>82</v>
      </c>
      <c r="B17" s="9" t="s">
        <v>28</v>
      </c>
      <c r="C17" s="9" t="s">
        <v>9</v>
      </c>
      <c r="D17" s="9" t="s">
        <v>83</v>
      </c>
      <c r="E17" s="9" t="s">
        <v>84</v>
      </c>
      <c r="F17" s="9" t="s">
        <v>85</v>
      </c>
      <c r="G17" s="9" t="s">
        <v>86</v>
      </c>
      <c r="H17" s="9" t="s">
        <v>87</v>
      </c>
      <c r="I17" s="17" t="s">
        <v>88</v>
      </c>
      <c r="J17" s="9" t="s">
        <v>89</v>
      </c>
      <c r="K17" s="8" t="s">
        <v>36</v>
      </c>
      <c r="L17" s="9" t="s">
        <v>90</v>
      </c>
    </row>
    <row r="19" customFormat="false" ht="13.5" hidden="false" customHeight="true" outlineLevel="0" collapsed="false"/>
    <row r="20" customFormat="false" ht="24" hidden="false" customHeight="true" outlineLevel="0" collapsed="false">
      <c r="A20" s="18" t="s">
        <v>91</v>
      </c>
      <c r="B20" s="18"/>
      <c r="C20" s="18"/>
      <c r="E20" s="18" t="s">
        <v>92</v>
      </c>
      <c r="F20" s="18"/>
      <c r="G20" s="18"/>
    </row>
    <row r="21" customFormat="false" ht="19.5" hidden="false" customHeight="true" outlineLevel="0" collapsed="false">
      <c r="A21" s="3" t="s">
        <v>93</v>
      </c>
      <c r="B21" s="19" t="n">
        <f aca="false">COUNTA(A10:A17)</f>
        <v>8</v>
      </c>
      <c r="E21" s="20" t="s">
        <v>34</v>
      </c>
      <c r="F21" s="21" t="s">
        <v>94</v>
      </c>
      <c r="G21" s="21"/>
    </row>
    <row r="22" customFormat="false" ht="19.5" hidden="false" customHeight="true" outlineLevel="0" collapsed="false">
      <c r="A22" s="3" t="s">
        <v>36</v>
      </c>
      <c r="B22" s="19" t="n">
        <f aca="false">COUNTIF(K10:K17,"Open")</f>
        <v>6</v>
      </c>
      <c r="E22" s="22" t="s">
        <v>49</v>
      </c>
      <c r="F22" s="21" t="s">
        <v>95</v>
      </c>
      <c r="G22" s="21"/>
    </row>
    <row r="23" customFormat="false" ht="19.5" hidden="false" customHeight="true" outlineLevel="0" collapsed="false">
      <c r="A23" s="3" t="s">
        <v>51</v>
      </c>
      <c r="B23" s="19" t="n">
        <f aca="false">COUNTIF(K10:K17,"In Progress")</f>
        <v>1</v>
      </c>
      <c r="E23" s="23" t="s">
        <v>72</v>
      </c>
      <c r="F23" s="21" t="s">
        <v>96</v>
      </c>
      <c r="G23" s="21"/>
    </row>
    <row r="24" customFormat="false" ht="19.5" hidden="false" customHeight="true" outlineLevel="0" collapsed="false">
      <c r="A24" s="3" t="s">
        <v>74</v>
      </c>
      <c r="B24" s="19" t="n">
        <f aca="false">COUNTIF(K10:K17,"Resolved")</f>
        <v>1</v>
      </c>
      <c r="E24" s="24" t="s">
        <v>88</v>
      </c>
      <c r="F24" s="21" t="s">
        <v>97</v>
      </c>
      <c r="G24" s="21"/>
    </row>
    <row r="25" customFormat="false" ht="19.5" hidden="false" customHeight="true" outlineLevel="0" collapsed="false">
      <c r="A25" s="3" t="s">
        <v>34</v>
      </c>
      <c r="B25" s="19" t="n">
        <f aca="false">COUNTIF(I10:I17,"Critical")</f>
        <v>2</v>
      </c>
    </row>
    <row r="26" customFormat="false" ht="19.5" hidden="false" customHeight="true" outlineLevel="0" collapsed="false">
      <c r="A26" s="3" t="s">
        <v>49</v>
      </c>
      <c r="B26" s="19" t="n">
        <f aca="false">COUNTIF(I10:I17,"High")</f>
        <v>3</v>
      </c>
    </row>
    <row r="27" customFormat="false" ht="19.5" hidden="false" customHeight="true" outlineLevel="0" collapsed="false">
      <c r="A27" s="3" t="s">
        <v>72</v>
      </c>
      <c r="B27" s="19" t="n">
        <f aca="false">COUNTIF(I10:I17,"Medium")</f>
        <v>2</v>
      </c>
    </row>
    <row r="28" customFormat="false" ht="19.5" hidden="false" customHeight="true" outlineLevel="0" collapsed="false">
      <c r="A28" s="3" t="s">
        <v>88</v>
      </c>
      <c r="B28" s="19" t="n">
        <f aca="false">COUNTIF(I10:I17,"Low")</f>
        <v>1</v>
      </c>
    </row>
  </sheetData>
  <autoFilter ref="A9:L17"/>
  <mergeCells count="8">
    <mergeCell ref="A1:L1"/>
    <mergeCell ref="A2:L2"/>
    <mergeCell ref="A20:C20"/>
    <mergeCell ref="E20:G20"/>
    <mergeCell ref="F21:G21"/>
    <mergeCell ref="F22:G22"/>
    <mergeCell ref="F23:G23"/>
    <mergeCell ref="F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2026-05-28T20:31:46Z</dcterms:created>
  <dc:creator>openpyxl</dc:creator>
  <dc:description/>
  <dc:language>en-US</dc:language>
  <cp:lastModifiedBy/>
  <dcterms:modified xsi:type="dcterms:W3CDTF">2026-05-28T20:31:46Z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